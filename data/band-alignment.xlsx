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.sharepoint.com/sites/virtualatoms-CH/Shared Documents/Projects/Masters/2023-24/JJ Acton/alex-calcs/data/"/>
    </mc:Choice>
  </mc:AlternateContent>
  <xr:revisionPtr revIDLastSave="66" documentId="8_{A11ACDC5-B02E-4142-927B-771EA69958B7}" xr6:coauthVersionLast="47" xr6:coauthVersionMax="47" xr10:uidLastSave="{C8A16A81-94CE-3647-88C8-78AF92D9D34C}"/>
  <bookViews>
    <workbookView xWindow="30080" yWindow="500" windowWidth="30080" windowHeight="33340" xr2:uid="{F1AC4101-567E-374B-AA44-2CCA50E34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J4" i="1" s="1"/>
  <c r="H5" i="1"/>
  <c r="I5" i="1" s="1"/>
  <c r="J5" i="1" s="1"/>
  <c r="H2" i="1"/>
  <c r="I2" i="1" s="1"/>
  <c r="J2" i="1" s="1"/>
  <c r="H3" i="1"/>
  <c r="I3" i="1" s="1"/>
  <c r="J3" i="1" s="1"/>
</calcChain>
</file>

<file path=xl/sharedStrings.xml><?xml version="1.0" encoding="utf-8"?>
<sst xmlns="http://schemas.openxmlformats.org/spreadsheetml/2006/main" count="13" uniqueCount="13">
  <si>
    <t>bulk VBM</t>
  </si>
  <si>
    <t>bulk Eg</t>
  </si>
  <si>
    <t>bulk B-site core</t>
  </si>
  <si>
    <t>slab B-site core</t>
  </si>
  <si>
    <t>slab vac</t>
  </si>
  <si>
    <t>HZZrS3</t>
  </si>
  <si>
    <t>HZZrSe3</t>
  </si>
  <si>
    <t>HZHfS3</t>
  </si>
  <si>
    <t>HZHfSe3</t>
  </si>
  <si>
    <t>IP</t>
  </si>
  <si>
    <t>slab B-site core 2</t>
  </si>
  <si>
    <t>slab B-site core avg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</si>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</sst>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8D8A7-5FE4-F143-BDF7-BED5E0C25347}">
  <dimension ref="A1:J8"/>
  <sheetViews>
    <sheetView tabSelected="1" zoomScale="90" workbookViewId="0">
      <selection activeCell="K20" sqref="K20"/>
    </sheetView>
  </sheetViews>
  <sheetFormatPr baseColWidth="10" defaultRowHeight="16" x14ac:dyDescent="0.2"/>
  <cols>
    <col min="4" max="4" width="13.6640625" bestFit="1" customWidth="1"/>
    <col min="6" max="7" width="15" bestFit="1" customWidth="1"/>
    <col min="8" max="8" width="16.83203125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10</v>
      </c>
      <c r="H1" t="s">
        <v>11</v>
      </c>
      <c r="I1" t="s">
        <v>9</v>
      </c>
      <c r="J1" t="s">
        <v>12</v>
      </c>
    </row>
    <row r="2" spans="1:10" x14ac:dyDescent="0.2">
      <c r="A2" t="s">
        <v>5</v>
      </c>
      <c r="B2">
        <v>3.359</v>
      </c>
      <c r="C2">
        <v>1.734</v>
      </c>
      <c r="D2">
        <v>-17813.6993</v>
      </c>
      <c r="E2">
        <v>4.3375778896717403</v>
      </c>
      <c r="F2">
        <v>-17818.7942</v>
      </c>
      <c r="G2">
        <v>-17818.793000000001</v>
      </c>
      <c r="H2">
        <f>AVERAGE(F2,G2)</f>
        <v>-17818.793600000001</v>
      </c>
      <c r="I2" s="1">
        <f>(E2-H2) - (B2-D2)</f>
        <v>6.0728778896736912</v>
      </c>
      <c r="J2" s="1">
        <f>I2-C2</f>
        <v>4.3388778896736913</v>
      </c>
    </row>
    <row r="3" spans="1:10" x14ac:dyDescent="0.2">
      <c r="A3" t="s">
        <v>6</v>
      </c>
      <c r="B3">
        <v>2.9550000000000001</v>
      </c>
      <c r="C3">
        <v>1.306</v>
      </c>
      <c r="D3">
        <v>-17814.635200000001</v>
      </c>
      <c r="E3">
        <v>4.0485489233115803</v>
      </c>
      <c r="F3">
        <v>-17819.3809</v>
      </c>
      <c r="G3">
        <v>-17819.382399999999</v>
      </c>
      <c r="H3">
        <f>AVERAGE(F3,G3)</f>
        <v>-17819.381649999999</v>
      </c>
      <c r="I3" s="1">
        <f>(E3-H3) - (B3-D3)</f>
        <v>5.8399989233075758</v>
      </c>
      <c r="J3" s="1">
        <f>I3-C3</f>
        <v>4.5339989233075757</v>
      </c>
    </row>
    <row r="4" spans="1:10" x14ac:dyDescent="0.2">
      <c r="A4" t="s">
        <v>7</v>
      </c>
      <c r="B4">
        <v>2.7250000000000001</v>
      </c>
      <c r="C4">
        <v>1.962</v>
      </c>
      <c r="D4">
        <v>-65253.798499999997</v>
      </c>
      <c r="E4">
        <v>4.0278827213553896</v>
      </c>
      <c r="F4">
        <v>-65258.601199999997</v>
      </c>
      <c r="G4">
        <v>-65258.600899999998</v>
      </c>
      <c r="H4">
        <f t="shared" ref="H4:H5" si="0">AVERAGE(F4,G4)</f>
        <v>-65258.601049999997</v>
      </c>
      <c r="I4" s="1">
        <f>(E4-H4) - (B4-D4)</f>
        <v>6.1054327213569195</v>
      </c>
      <c r="J4" s="1">
        <f>I4-C4</f>
        <v>4.1434327213569198</v>
      </c>
    </row>
    <row r="5" spans="1:10" x14ac:dyDescent="0.2">
      <c r="A5" t="s">
        <v>8</v>
      </c>
      <c r="B5">
        <v>2.3969999999999998</v>
      </c>
      <c r="C5">
        <v>1.5189999999999999</v>
      </c>
      <c r="D5">
        <v>-65254.722600000001</v>
      </c>
      <c r="E5">
        <v>3.7797562914321401</v>
      </c>
      <c r="F5">
        <v>-65259.225200000001</v>
      </c>
      <c r="G5">
        <v>-65259.227099999996</v>
      </c>
      <c r="H5">
        <f t="shared" si="0"/>
        <v>-65259.226150000002</v>
      </c>
      <c r="I5" s="1">
        <f>(E5-H5) - (B5-D5)</f>
        <v>5.8863062914388138</v>
      </c>
      <c r="J5" s="1">
        <f>I5-C5</f>
        <v>4.3673062914388137</v>
      </c>
    </row>
    <row r="8" spans="1:10" x14ac:dyDescent="0.2">
      <c r="I8" s="1"/>
      <c r="J8" s="1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B8E9662E8894C98237969E79C114C" ma:contentTypeVersion="15" ma:contentTypeDescription="Create a new document." ma:contentTypeScope="" ma:versionID="aad9918c55a851cd96d0e701caff93d0">
  <xsd:schema xmlns:xsd="http://www.w3.org/2001/XMLSchema" xmlns:xs="http://www.w3.org/2001/XMLSchema" xmlns:p="http://schemas.microsoft.com/office/2006/metadata/properties" xmlns:ns2="da5f62da-709d-46b4-991f-ab9adae6e937" xmlns:ns3="6de3eac8-cc89-4305-a291-1843a27f8eee" targetNamespace="http://schemas.microsoft.com/office/2006/metadata/properties" ma:root="true" ma:fieldsID="8126960a6448fd19333d324f481b73d3" ns2:_="" ns3:_="">
    <xsd:import namespace="da5f62da-709d-46b4-991f-ab9adae6e937"/>
    <xsd:import namespace="6de3eac8-cc89-4305-a291-1843a27f8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f62da-709d-46b4-991f-ab9adae6e9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3eac8-cc89-4305-a291-1843a27f8ee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6dab855-6186-4fbb-8bee-2eb1ed964625}" ma:internalName="TaxCatchAll" ma:showField="CatchAllData" ma:web="6de3eac8-cc89-4305-a291-1843a27f8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e3eac8-cc89-4305-a291-1843a27f8eee" xsi:nil="true"/>
    <lcf76f155ced4ddcb4097134ff3c332f xmlns="da5f62da-709d-46b4-991f-ab9adae6e93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D5171F-9C4B-4B9F-9908-4660DA14DB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5f62da-709d-46b4-991f-ab9adae6e937"/>
    <ds:schemaRef ds:uri="6de3eac8-cc89-4305-a291-1843a27f8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FE52EC-E834-40CD-B407-4BDAC881C880}">
  <ds:schemaRefs>
    <ds:schemaRef ds:uri="http://schemas.microsoft.com/office/2006/metadata/properties"/>
    <ds:schemaRef ds:uri="http://www.w3.org/XML/1998/namespace"/>
    <ds:schemaRef ds:uri="http://purl.org/dc/elements/1.1/"/>
    <ds:schemaRef ds:uri="6de3eac8-cc89-4305-a291-1843a27f8ee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a5f62da-709d-46b4-991f-ab9adae6e93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CE6467C-3FD0-49C6-9E30-3C3E3DE1F1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Ganose, Alexander M</dc:creator>
  <cp:lastModifiedBy>Ganose, Alexander M</cp:lastModifiedBy>
  <dcterms:created xsi:type="dcterms:W3CDTF">2026-02-15T17:04:16Z</dcterms:created>
  <dcterms:modified xsi:type="dcterms:W3CDTF">2026-02-16T12:33:58Z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0x010100445B8E9662E8894C98237969E79C114C</vt:lpwstr>
  </property>
  <property fmtid="{D5CDD505-2E9C-101B-9397-08002B2CF9AE}" pid="3" name="MediaServiceImageTags">
    <vt:lpwstr/>
  </property>
</Properties>
</file>